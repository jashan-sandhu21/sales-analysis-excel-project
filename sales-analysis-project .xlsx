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hidePivotFieldList="1" defaultThemeVersion="166925"/>
  <xr:revisionPtr revIDLastSave="0" documentId="8_{8F4BDD5A-7297-4528-991A-9BAE9E1967EB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Pivot_analysis" sheetId="3" r:id="rId1"/>
    <sheet name="Dashboard " sheetId="4" r:id="rId2"/>
    <sheet name="analysis" sheetId="2" r:id="rId3"/>
    <sheet name="Sheet1" sheetId="1" r:id="rId4"/>
  </sheets>
  <calcPr calcId="191028"/>
  <pivotCaches>
    <pivotCache cacheId="16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4" l="1"/>
  <c r="C7" i="4"/>
  <c r="C6" i="4"/>
  <c r="C5" i="4"/>
  <c r="C4" i="4"/>
  <c r="B12" i="2"/>
  <c r="B11" i="2"/>
  <c r="B10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<sst xmlns="http://schemas.openxmlformats.org/spreadsheetml/2006/main" count="57" uniqueCount="32">
  <si>
    <t>Sum of Sales</t>
  </si>
  <si>
    <t>Region</t>
  </si>
  <si>
    <t>Category</t>
  </si>
  <si>
    <t>EU</t>
  </si>
  <si>
    <t>US</t>
  </si>
  <si>
    <t>Grand Total</t>
  </si>
  <si>
    <t>Accessories</t>
  </si>
  <si>
    <t>Electronics</t>
  </si>
  <si>
    <t xml:space="preserve">Sales Analysis Dashboard </t>
  </si>
  <si>
    <t xml:space="preserve">Total Electronic Sales </t>
  </si>
  <si>
    <t>Total Accessories Sales</t>
  </si>
  <si>
    <t>Average Sales per Order</t>
  </si>
  <si>
    <t>Highest Sale</t>
  </si>
  <si>
    <t>Lowest Sale</t>
  </si>
  <si>
    <t xml:space="preserve">Business Question </t>
  </si>
  <si>
    <t>Answer</t>
  </si>
  <si>
    <t>Total Electronics Sales in EU</t>
  </si>
  <si>
    <t>Total Accessories Sales in EU</t>
  </si>
  <si>
    <t xml:space="preserve">Total Sales in US </t>
  </si>
  <si>
    <t>Number of Electronics Orders in EU</t>
  </si>
  <si>
    <t>Number of Orders in US</t>
  </si>
  <si>
    <t>Number of Accessories Orders</t>
  </si>
  <si>
    <t xml:space="preserve">Total Electronics Sales </t>
  </si>
  <si>
    <t xml:space="preserve">Total Accessories Sales </t>
  </si>
  <si>
    <t>Order ID</t>
  </si>
  <si>
    <t>Product</t>
  </si>
  <si>
    <t>Sales</t>
  </si>
  <si>
    <t>Laptop</t>
  </si>
  <si>
    <t>Phone</t>
  </si>
  <si>
    <t>Tablet</t>
  </si>
  <si>
    <t>Mouse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</si>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</sst>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8"/>
      <color rgb="FF203764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1" applyFont="1"/>
    <xf numFmtId="0" fontId="4" fillId="0" borderId="0" xfId="1" applyFont="1"/>
    <xf numFmtId="0" fontId="0" fillId="0" borderId="0" xfId="1" applyFont="1"/>
    <xf numFmtId="0" fontId="5" fillId="0" borderId="0" xfId="1" applyFon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[sales-analysis-project.xlsx]Pivot_analysis!PivotTable1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Pivot_analysis!$B$5:$B$7</c:f>
              <c:numCache>
                <c:formatCode>General</c:formatCode>
                <c:ptCount val="2"/>
                <c:pt idx="0">
                  <c:v>140</c:v>
                </c:pt>
                <c:pt idx="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AA-44B0-BEAE-9A8D9D0B6BF1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Pivot_analysis!$C$5:$C$7</c:f>
              <c:numCache>
                <c:formatCode>General</c:formatCode>
                <c:ptCount val="2"/>
                <c:pt idx="0">
                  <c:v>50</c:v>
                </c:pt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AA-44B0-BEAE-9A8D9D0B6B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75719"/>
        <c:axId val="81094151"/>
      </c:barChart>
      <c:catAx>
        <c:axId val="8107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4151"/>
        <c:crosses val="autoZero"/>
        <c:auto val="1"/>
        <c:lblAlgn val="ctr"/>
        <c:lblOffset val="100"/>
        <c:noMultiLvlLbl val="0"/>
      </c:catAx>
      <c:valAx>
        <c:axId val="81094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[sales-analysis-project.xlsx]Pivot_analysis!PivotTable1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 and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Pivot_analysis!$B$3:$B$4</c:f>
              <c:strCache>
                <c:ptCount val="1"/>
                <c:pt idx="0">
                  <c:v>EU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Pivot_analysis!$B$5:$B$7</c:f>
              <c:numCache>
                <c:formatCode>General</c:formatCode>
                <c:ptCount val="2"/>
                <c:pt idx="0">
                  <c:v>140</c:v>
                </c:pt>
                <c:pt idx="1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39-4E1F-B72A-D5FD2D7592ED}"/>
            </c:ext>
          </c:extLst>
        </c:ser>
        <c:ser>
          <c:idx val="1"/>
          <c:order val="1"/>
          <c:tx>
            <c:strRef>
              <c:f>Pivot_analysis!$C$3:$C$4</c:f>
              <c:strCache>
                <c:ptCount val="1"/>
                <c:pt idx="0">
                  <c:v>US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Pivot_analysis!$A$5:$A$7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Pivot_analysis!$C$5:$C$7</c:f>
              <c:numCache>
                <c:formatCode>General</c:formatCode>
                <c:ptCount val="2"/>
                <c:pt idx="0">
                  <c:v>50</c:v>
                </c:pt>
                <c:pt idx="1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39-4E1F-B72A-D5FD2D759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1075719"/>
        <c:axId val="81094151"/>
      </c:barChart>
      <c:catAx>
        <c:axId val="810757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4151"/>
        <c:crosses val="autoZero"/>
        <c:auto val="1"/>
        <c:lblAlgn val="ctr"/>
        <c:lblOffset val="100"/>
        <c:noMultiLvlLbl val="0"/>
      </c:catAx>
      <c:valAx>
        <c:axId val="81094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75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0</xdr:row>
      <xdr:rowOff>66675</xdr:rowOff>
    </xdr:from>
    <xdr:to>
      <xdr:col>11</xdr:col>
      <xdr:colOff>352425</xdr:colOff>
      <xdr:row>14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06BB04-8240-1BDD-93E8-0E89F35483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0</xdr:rowOff>
    </xdr:from>
    <xdr:to>
      <xdr:col>5</xdr:col>
      <xdr:colOff>304800</xdr:colOff>
      <xdr:row>24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FC9BDF-CC35-48A0-AECA-170B3A62B1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87.553898495367" createdVersion="8" refreshedVersion="8" minRefreshableVersion="3" recordCount="8" xr:uid="{76328E66-D4AB-42D2-BD1E-B3AC0F5DEAB5}">
  <cacheSource type="worksheet">
    <worksheetSource ref="A1:E9" sheet="Sheet1"/>
  </cacheSource>
  <cacheFields count="5">
    <cacheField name="Order ID" numFmtId="0">
      <sharedItems containsSemiMixedTypes="0" containsString="0" containsNumber="1" containsInteger="1" minValue="1" maxValue="8"/>
    </cacheField>
    <cacheField name="Product" numFmtId="0">
      <sharedItems/>
    </cacheField>
    <cacheField name="Category" numFmtId="0">
      <sharedItems count="2">
        <s v="Electronics"/>
        <s v="Accessories"/>
      </sharedItems>
    </cacheField>
    <cacheField name="Region" numFmtId="0">
      <sharedItems count="2">
        <s v="US"/>
        <s v="EU"/>
      </sharedItems>
    </cacheField>
    <cacheField name="Sales" numFmtId="0">
      <sharedItems containsSemiMixedTypes="0" containsString="0" containsNumber="1" containsInteger="1" minValue="50" maxValue="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"/>
    <s v="Laptop"/>
    <x v="0"/>
    <x v="0"/>
    <n v="500"/>
  </r>
  <r>
    <n v="2"/>
    <s v="Phone"/>
    <x v="0"/>
    <x v="0"/>
    <n v="300"/>
  </r>
  <r>
    <n v="3"/>
    <s v="Tablet"/>
    <x v="0"/>
    <x v="1"/>
    <n v="400"/>
  </r>
  <r>
    <n v="4"/>
    <s v="Mouse"/>
    <x v="1"/>
    <x v="0"/>
    <n v="50"/>
  </r>
  <r>
    <n v="5"/>
    <s v="Keyboard"/>
    <x v="1"/>
    <x v="1"/>
    <n v="80"/>
  </r>
  <r>
    <n v="6"/>
    <s v="Phone"/>
    <x v="0"/>
    <x v="1"/>
    <n v="350"/>
  </r>
  <r>
    <n v="7"/>
    <s v="Laptop"/>
    <x v="0"/>
    <x v="1"/>
    <n v="550"/>
  </r>
  <r>
    <n v="8"/>
    <s v="Mouse"/>
    <x v="1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47F1DF-0AFE-4794-AA89-1D33A00D7A99}" name="PivotTable1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5"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</pivotFields>
  <rowFields count="1">
    <field x="2"/>
  </rowFields>
  <rowItems count="3">
    <i>
      <x/>
    </i>
    <i>
      <x v="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 of Sales" fld="4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7831C-2283-4906-8A86-3731B024573B}">
  <dimension ref="A3:D7"/>
  <sheetViews>
    <sheetView workbookViewId="0">
      <selection activeCell="J16" sqref="J16"/>
    </sheetView>
  </sheetViews>
  <sheetFormatPr defaultRowHeight="15"/>
  <cols>
    <col min="1" max="1" width="12.140625" bestFit="1" customWidth="1"/>
    <col min="2" max="2" width="10.140625" bestFit="1" customWidth="1"/>
    <col min="3" max="3" width="4.140625" bestFit="1" customWidth="1"/>
    <col min="4" max="4" width="11.42578125" bestFit="1" customWidth="1"/>
  </cols>
  <sheetData>
    <row r="3" spans="1:4">
      <c r="A3" s="8" t="s">
        <v>0</v>
      </c>
      <c r="B3" s="8" t="s">
        <v>1</v>
      </c>
    </row>
    <row r="4" spans="1:4">
      <c r="A4" s="8" t="s">
        <v>2</v>
      </c>
      <c r="B4" t="s">
        <v>3</v>
      </c>
      <c r="C4" t="s">
        <v>4</v>
      </c>
      <c r="D4" t="s">
        <v>5</v>
      </c>
    </row>
    <row r="5" spans="1:4">
      <c r="A5" t="s">
        <v>6</v>
      </c>
      <c r="B5" s="9">
        <v>140</v>
      </c>
      <c r="C5" s="9">
        <v>50</v>
      </c>
      <c r="D5" s="9">
        <v>190</v>
      </c>
    </row>
    <row r="6" spans="1:4">
      <c r="A6" t="s">
        <v>7</v>
      </c>
      <c r="B6" s="9">
        <v>1300</v>
      </c>
      <c r="C6" s="9">
        <v>800</v>
      </c>
      <c r="D6" s="9">
        <v>2100</v>
      </c>
    </row>
    <row r="7" spans="1:4">
      <c r="A7" t="s">
        <v>5</v>
      </c>
      <c r="B7" s="9">
        <v>1440</v>
      </c>
      <c r="C7" s="9">
        <v>850</v>
      </c>
      <c r="D7" s="9">
        <v>2290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507E-4E94-4057-9D15-25077872FE18}">
  <dimension ref="B1:C8"/>
  <sheetViews>
    <sheetView showGridLines="0" tabSelected="1" workbookViewId="0">
      <selection activeCell="H14" sqref="H14"/>
    </sheetView>
  </sheetViews>
  <sheetFormatPr defaultRowHeight="15"/>
  <cols>
    <col min="2" max="2" width="36.5703125" bestFit="1" customWidth="1"/>
  </cols>
  <sheetData>
    <row r="1" spans="2:3" ht="47.25">
      <c r="B1" s="10" t="s">
        <v>8</v>
      </c>
    </row>
    <row r="4" spans="2:3">
      <c r="B4" t="s">
        <v>9</v>
      </c>
      <c r="C4">
        <f>analysis!B8</f>
        <v>2100</v>
      </c>
    </row>
    <row r="5" spans="2:3">
      <c r="B5" t="s">
        <v>10</v>
      </c>
      <c r="C5">
        <f>analysis!B9</f>
        <v>190</v>
      </c>
    </row>
    <row r="6" spans="2:3">
      <c r="B6" t="s">
        <v>11</v>
      </c>
      <c r="C6">
        <f>analysis!B10</f>
        <v>286.25</v>
      </c>
    </row>
    <row r="7" spans="2:3">
      <c r="B7" t="s">
        <v>12</v>
      </c>
      <c r="C7">
        <f>analysis!B11</f>
        <v>550</v>
      </c>
    </row>
    <row r="8" spans="2:3">
      <c r="B8" t="s">
        <v>13</v>
      </c>
      <c r="C8">
        <f>analysis!B12</f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DFF1C-E88A-441B-B758-6CB91D8EC1FE}">
  <dimension ref="A1:B12"/>
  <sheetViews>
    <sheetView workbookViewId="0">
      <selection activeCell="B12" sqref="B12"/>
    </sheetView>
  </sheetViews>
  <sheetFormatPr defaultRowHeight="15"/>
  <cols>
    <col min="1" max="1" width="31.7109375" bestFit="1" customWidth="1"/>
    <col min="2" max="2" width="36.5703125" bestFit="1" customWidth="1"/>
  </cols>
  <sheetData>
    <row r="1" spans="1:2">
      <c r="A1" t="s">
        <v>14</v>
      </c>
      <c r="B1" t="s">
        <v>15</v>
      </c>
    </row>
    <row r="2" spans="1:2" ht="45.75">
      <c r="A2" t="s">
        <v>16</v>
      </c>
      <c r="B2" s="7">
        <f>SUMIFS(Sheet1!E:E,Sheet1!C:C,"Electronics",Sheet1!D:D,"EU")</f>
        <v>1300</v>
      </c>
    </row>
    <row r="3" spans="1:2">
      <c r="A3" t="s">
        <v>17</v>
      </c>
      <c r="B3">
        <f>SUMIFS(Sheet1!E:E,Sheet1!C:C,"Accessories",Sheet1!D:D,"EU")</f>
        <v>140</v>
      </c>
    </row>
    <row r="4" spans="1:2">
      <c r="A4" t="s">
        <v>18</v>
      </c>
      <c r="B4">
        <f>SUMIF(Sheet1!D:D,"US",Sheet1!E:E)</f>
        <v>850</v>
      </c>
    </row>
    <row r="5" spans="1:2">
      <c r="A5" t="s">
        <v>19</v>
      </c>
      <c r="B5">
        <f>COUNTIFS(Sheet1!C:C,"Electronics",Sheet1!D:D,"EU")</f>
        <v>3</v>
      </c>
    </row>
    <row r="6" spans="1:2">
      <c r="A6" t="s">
        <v>20</v>
      </c>
      <c r="B6">
        <f>COUNTIF(Sheet1!D:D,"US")</f>
        <v>3</v>
      </c>
    </row>
    <row r="7" spans="1:2">
      <c r="A7" t="s">
        <v>21</v>
      </c>
      <c r="B7">
        <f>COUNTIF(Sheet1!C:C,"accessories")</f>
        <v>3</v>
      </c>
    </row>
    <row r="8" spans="1:2">
      <c r="A8" t="s">
        <v>22</v>
      </c>
      <c r="B8">
        <f>SUMIF(Sheet1!C:C,"Electronics",Sheet1!E:E)</f>
        <v>2100</v>
      </c>
    </row>
    <row r="9" spans="1:2">
      <c r="A9" t="s">
        <v>23</v>
      </c>
      <c r="B9">
        <f>SUMIF(Sheet1!C:C,"Accessories",Sheet1!E:E)</f>
        <v>190</v>
      </c>
    </row>
    <row r="10" spans="1:2">
      <c r="A10" t="s">
        <v>11</v>
      </c>
      <c r="B10">
        <f>AVERAGE(Sheet1!E:E)</f>
        <v>286.25</v>
      </c>
    </row>
    <row r="11" spans="1:2">
      <c r="A11" t="s">
        <v>12</v>
      </c>
      <c r="B11">
        <f>MAX(Sheet1!E:E)</f>
        <v>550</v>
      </c>
    </row>
    <row r="12" spans="1:2">
      <c r="A12" t="s">
        <v>13</v>
      </c>
      <c r="B12">
        <f>MIN(Sheet1!E:E)</f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/>
  </sheetViews>
  <sheetFormatPr defaultRowHeight="15"/>
  <cols>
    <col min="1" max="1" width="13.42578125" style="1" bestFit="1" customWidth="1"/>
    <col min="2" max="2" width="16.7109375" style="1" bestFit="1" customWidth="1"/>
    <col min="3" max="3" width="10.85546875" style="1" bestFit="1" customWidth="1"/>
    <col min="4" max="16384" width="9.140625" style="1"/>
  </cols>
  <sheetData>
    <row r="1" spans="1:5">
      <c r="A1" s="2" t="s">
        <v>24</v>
      </c>
      <c r="B1" s="2" t="s">
        <v>25</v>
      </c>
      <c r="C1" s="2" t="s">
        <v>2</v>
      </c>
      <c r="D1" s="3" t="s">
        <v>1</v>
      </c>
      <c r="E1" s="4" t="s">
        <v>26</v>
      </c>
    </row>
    <row r="2" spans="1:5">
      <c r="A2">
        <v>1</v>
      </c>
      <c r="B2" t="s">
        <v>27</v>
      </c>
      <c r="C2" t="s">
        <v>7</v>
      </c>
      <c r="D2" s="6" t="s">
        <v>4</v>
      </c>
      <c r="E2" s="5">
        <v>500</v>
      </c>
    </row>
    <row r="3" spans="1:5">
      <c r="A3">
        <v>2</v>
      </c>
      <c r="B3" t="s">
        <v>28</v>
      </c>
      <c r="C3" t="s">
        <v>7</v>
      </c>
      <c r="D3" s="6" t="s">
        <v>4</v>
      </c>
      <c r="E3" s="5">
        <v>300</v>
      </c>
    </row>
    <row r="4" spans="1:5">
      <c r="A4">
        <v>3</v>
      </c>
      <c r="B4" t="s">
        <v>29</v>
      </c>
      <c r="C4" t="s">
        <v>7</v>
      </c>
      <c r="D4" s="5" t="s">
        <v>3</v>
      </c>
      <c r="E4" s="5">
        <v>400</v>
      </c>
    </row>
    <row r="5" spans="1:5">
      <c r="A5">
        <v>4</v>
      </c>
      <c r="B5" t="s">
        <v>30</v>
      </c>
      <c r="C5" t="s">
        <v>6</v>
      </c>
      <c r="D5" s="5" t="s">
        <v>4</v>
      </c>
      <c r="E5" s="5">
        <v>50</v>
      </c>
    </row>
    <row r="6" spans="1:5">
      <c r="A6">
        <v>5</v>
      </c>
      <c r="B6" s="5" t="s">
        <v>31</v>
      </c>
      <c r="C6" t="s">
        <v>6</v>
      </c>
      <c r="D6" s="5" t="s">
        <v>3</v>
      </c>
      <c r="E6" s="5">
        <v>80</v>
      </c>
    </row>
    <row r="7" spans="1:5">
      <c r="A7">
        <v>6</v>
      </c>
      <c r="B7" s="5" t="s">
        <v>28</v>
      </c>
      <c r="C7" s="6" t="s">
        <v>7</v>
      </c>
      <c r="D7" s="5" t="s">
        <v>3</v>
      </c>
      <c r="E7" s="5">
        <v>350</v>
      </c>
    </row>
    <row r="8" spans="1:5">
      <c r="A8">
        <v>7</v>
      </c>
      <c r="B8" s="6" t="s">
        <v>27</v>
      </c>
      <c r="C8" s="6" t="s">
        <v>7</v>
      </c>
      <c r="D8" s="5" t="s">
        <v>3</v>
      </c>
      <c r="E8" s="5">
        <v>550</v>
      </c>
    </row>
    <row r="9" spans="1:5">
      <c r="A9" s="5">
        <v>8</v>
      </c>
      <c r="B9" s="6" t="s">
        <v>30</v>
      </c>
      <c r="C9" s="6" t="s">
        <v>6</v>
      </c>
      <c r="D9" s="5" t="s">
        <v>3</v>
      </c>
      <c r="E9" s="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2026-06-13T21:01:00Z</dcterms:created>
  <dcterms:modified xsi:type="dcterms:W3CDTF">2026-06-14T20:43:09Z</dcterms:modified>
  <cp:category/>
  <cp:contentStatus/>
</cp:coreProperties>
</file>